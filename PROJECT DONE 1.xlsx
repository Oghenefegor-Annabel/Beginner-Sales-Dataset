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5a8099fd7afb588/Documents/"/>
    </mc:Choice>
  </mc:AlternateContent>
  <bookViews>
    <workbookView xWindow="0" yWindow="0" windowWidth="20490" windowHeight="7500" activeTab="1"/>
  </bookViews>
  <sheets>
    <sheet name="Sheet1" sheetId="4" r:id="rId1"/>
    <sheet name="Sheet" sheetId="2" r:id="rId2"/>
    <sheet name="Sheet3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K5" i="2"/>
  <c r="J5" i="2"/>
  <c r="G12" i="2" l="1"/>
  <c r="I12" i="2"/>
  <c r="H12" i="2"/>
  <c r="J6" i="2"/>
  <c r="J7" i="2"/>
  <c r="K7" i="2" s="1"/>
  <c r="J8" i="2"/>
  <c r="K8" i="2" s="1"/>
  <c r="J9" i="2"/>
  <c r="K9" i="2" s="1"/>
  <c r="J10" i="2"/>
  <c r="K10" i="2" s="1"/>
  <c r="J11" i="2"/>
  <c r="K11" i="2" s="1"/>
  <c r="J12" i="2" l="1"/>
  <c r="K6" i="2"/>
</calcChain>
</file>

<file path=xl/sharedStrings.xml><?xml version="1.0" encoding="utf-8"?>
<sst xmlns="http://schemas.openxmlformats.org/spreadsheetml/2006/main" count="48" uniqueCount="36">
  <si>
    <t>Order_ID</t>
  </si>
  <si>
    <t>Order_Date</t>
  </si>
  <si>
    <t>Region</t>
  </si>
  <si>
    <t>Product</t>
  </si>
  <si>
    <t>Category</t>
  </si>
  <si>
    <t>Sales</t>
  </si>
  <si>
    <t>Quantity</t>
  </si>
  <si>
    <t>Profit</t>
  </si>
  <si>
    <t>2024-01-05</t>
  </si>
  <si>
    <t>Dhaka</t>
  </si>
  <si>
    <t>Office Chair</t>
  </si>
  <si>
    <t>Furniture</t>
  </si>
  <si>
    <t>2024-01-06</t>
  </si>
  <si>
    <t>Chittagong</t>
  </si>
  <si>
    <t>Laptop</t>
  </si>
  <si>
    <t>Technology</t>
  </si>
  <si>
    <t>2024-01-07</t>
  </si>
  <si>
    <t>Khulna</t>
  </si>
  <si>
    <t>Pen Pack</t>
  </si>
  <si>
    <t>Office Supplies</t>
  </si>
  <si>
    <t>2024-01-08</t>
  </si>
  <si>
    <t>Sylhet</t>
  </si>
  <si>
    <t>Desk</t>
  </si>
  <si>
    <t>2024-01-09</t>
  </si>
  <si>
    <t>Rajshahi</t>
  </si>
  <si>
    <t>Printer</t>
  </si>
  <si>
    <t>2024-01-10</t>
  </si>
  <si>
    <t>Notebook</t>
  </si>
  <si>
    <t>2024-01-11</t>
  </si>
  <si>
    <t>Barisal</t>
  </si>
  <si>
    <t>Monitor</t>
  </si>
  <si>
    <t>Item Price</t>
  </si>
  <si>
    <t>Total</t>
  </si>
  <si>
    <t>Count of Region</t>
  </si>
  <si>
    <t>3%</t>
  </si>
  <si>
    <t>profit + item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</si>
</sst>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DONE 1.xlsx]Sheet1!PivotTable4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Sylhet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D-4B50-854F-E7C0C5F43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207288"/>
        <c:axId val="528205320"/>
      </c:barChart>
      <c:catAx>
        <c:axId val="528207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Purchasing</a:t>
                </a:r>
                <a:r>
                  <a:rPr lang="en-US" baseline="0"/>
                  <a:t> Region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05320"/>
        <c:crosses val="autoZero"/>
        <c:auto val="1"/>
        <c:lblAlgn val="ctr"/>
        <c:lblOffset val="100"/>
        <c:noMultiLvlLbl val="0"/>
      </c:catAx>
      <c:valAx>
        <c:axId val="52820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0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4</xdr:row>
      <xdr:rowOff>114300</xdr:rowOff>
    </xdr:from>
    <xdr:to>
      <xdr:col>13</xdr:col>
      <xdr:colOff>257175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ghenefegor ogbe" refreshedDate="46092.746389351851" createdVersion="6" refreshedVersion="6" minRefreshableVersion="3" recordCount="7">
  <cacheSource type="worksheet">
    <worksheetSource name="SALES1"/>
  </cacheSource>
  <cacheFields count="9">
    <cacheField name="Order_ID" numFmtId="0">
      <sharedItems containsSemiMixedTypes="0" containsString="0" containsNumber="1" containsInteger="1" minValue="1001" maxValue="1007"/>
    </cacheField>
    <cacheField name="Order_Date" numFmtId="0">
      <sharedItems/>
    </cacheField>
    <cacheField name="Region" numFmtId="0">
      <sharedItems count="6">
        <s v="Dhaka"/>
        <s v="Chittagong"/>
        <s v="Khulna"/>
        <s v="Sylhet"/>
        <s v="Rajshahi"/>
        <s v="Barisal"/>
      </sharedItems>
    </cacheField>
    <cacheField name="Product" numFmtId="0">
      <sharedItems/>
    </cacheField>
    <cacheField name="Category" numFmtId="0">
      <sharedItems/>
    </cacheField>
    <cacheField name="Sales" numFmtId="164">
      <sharedItems containsSemiMixedTypes="0" containsString="0" containsNumber="1" containsInteger="1" minValue="300" maxValue="55000"/>
    </cacheField>
    <cacheField name="Quantity" numFmtId="0">
      <sharedItems containsSemiMixedTypes="0" containsString="0" containsNumber="1" containsInteger="1" minValue="1" maxValue="15"/>
    </cacheField>
    <cacheField name="Profit" numFmtId="164">
      <sharedItems containsSemiMixedTypes="0" containsString="0" containsNumber="1" containsInteger="1" minValue="90" maxValue="5000"/>
    </cacheField>
    <cacheField name="Item Price" numFmtId="164">
      <sharedItems containsSemiMixedTypes="0" containsString="0" containsNumber="1" containsInteger="1" minValue="14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n v="1001"/>
    <s v="2024-01-05"/>
    <x v="0"/>
    <s v="Office Chair"/>
    <s v="Furniture"/>
    <n v="12000"/>
    <n v="2"/>
    <n v="2000"/>
    <n v="5000"/>
  </r>
  <r>
    <n v="1002"/>
    <s v="2024-01-06"/>
    <x v="1"/>
    <s v="Laptop"/>
    <s v="Technology"/>
    <n v="55000"/>
    <n v="1"/>
    <n v="5000"/>
    <n v="50000"/>
  </r>
  <r>
    <n v="1003"/>
    <s v="2024-01-07"/>
    <x v="2"/>
    <s v="Pen Pack"/>
    <s v="Office Supplies"/>
    <n v="500"/>
    <n v="10"/>
    <n v="120"/>
    <n v="38"/>
  </r>
  <r>
    <n v="1004"/>
    <s v="2024-01-08"/>
    <x v="3"/>
    <s v="Desk"/>
    <s v="Furniture"/>
    <n v="8000"/>
    <n v="1"/>
    <n v="1500"/>
    <n v="6500"/>
  </r>
  <r>
    <n v="1005"/>
    <s v="2024-01-09"/>
    <x v="4"/>
    <s v="Printer"/>
    <s v="Technology"/>
    <n v="15000"/>
    <n v="1"/>
    <n v="2500"/>
    <n v="12500"/>
  </r>
  <r>
    <n v="1006"/>
    <s v="2024-01-10"/>
    <x v="0"/>
    <s v="Notebook"/>
    <s v="Office Supplies"/>
    <n v="300"/>
    <n v="15"/>
    <n v="90"/>
    <n v="14"/>
  </r>
  <r>
    <n v="1007"/>
    <s v="2024-01-11"/>
    <x v="5"/>
    <s v="Monitor"/>
    <s v="Technology"/>
    <n v="18000"/>
    <n v="2"/>
    <n v="32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9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5"/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Region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SALES1" displayName="SALES1" ref="B4:L12" totalsRowCount="1">
  <autoFilter ref="B4:L11"/>
  <tableColumns count="11">
    <tableColumn id="1" name="Order_ID" totalsRowLabel="Total"/>
    <tableColumn id="2" name="Order_Date"/>
    <tableColumn id="3" name="Region"/>
    <tableColumn id="4" name="Product"/>
    <tableColumn id="5" name="Category"/>
    <tableColumn id="6" name="Sales" totalsRowFunction="custom" dataDxfId="7" totalsRowDxfId="2">
      <totalsRowFormula>SUM(SALES1[Sales])</totalsRowFormula>
    </tableColumn>
    <tableColumn id="7" name="Quantity" totalsRowFunction="custom">
      <totalsRowFormula>SUM(H5:H11)</totalsRowFormula>
    </tableColumn>
    <tableColumn id="8" name="Profit" totalsRowFunction="custom" dataDxfId="6" totalsRowDxfId="1">
      <totalsRowFormula>SUM(I5:I11)</totalsRowFormula>
    </tableColumn>
    <tableColumn id="12" name="Item Price" totalsRowFunction="sum" dataDxfId="5" totalsRowDxfId="0">
      <calculatedColumnFormula>(G5 - I5) / H5</calculatedColumnFormula>
    </tableColumn>
    <tableColumn id="9" name="3%" dataDxfId="4">
      <calculatedColumnFormula>SALES1[[#This Row],[Item Price]]*SALES1[[#Headers],[3%]]</calculatedColumnFormula>
    </tableColumn>
    <tableColumn id="10" name="profit + item price" dataDxfId="3">
      <calculatedColumnFormula>SALES1[[#All],[Profit]]+SALES1[[#All],[Item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N16" sqref="N16"/>
    </sheetView>
  </sheetViews>
  <sheetFormatPr defaultRowHeight="15" x14ac:dyDescent="0.25"/>
  <cols>
    <col min="1" max="1" width="10.5703125" bestFit="1" customWidth="1"/>
    <col min="2" max="2" width="15.28515625" bestFit="1" customWidth="1"/>
  </cols>
  <sheetData>
    <row r="3" spans="1:2" x14ac:dyDescent="0.25">
      <c r="A3" s="2" t="s">
        <v>2</v>
      </c>
      <c r="B3" t="s">
        <v>33</v>
      </c>
    </row>
    <row r="4" spans="1:2" x14ac:dyDescent="0.25">
      <c r="A4" t="s">
        <v>29</v>
      </c>
      <c r="B4" s="3">
        <v>1</v>
      </c>
    </row>
    <row r="5" spans="1:2" x14ac:dyDescent="0.25">
      <c r="A5" t="s">
        <v>13</v>
      </c>
      <c r="B5" s="3">
        <v>1</v>
      </c>
    </row>
    <row r="6" spans="1:2" x14ac:dyDescent="0.25">
      <c r="A6" t="s">
        <v>9</v>
      </c>
      <c r="B6" s="3">
        <v>2</v>
      </c>
    </row>
    <row r="7" spans="1:2" x14ac:dyDescent="0.25">
      <c r="A7" t="s">
        <v>17</v>
      </c>
      <c r="B7" s="3">
        <v>1</v>
      </c>
    </row>
    <row r="8" spans="1:2" x14ac:dyDescent="0.25">
      <c r="A8" t="s">
        <v>24</v>
      </c>
      <c r="B8" s="3">
        <v>1</v>
      </c>
    </row>
    <row r="9" spans="1:2" x14ac:dyDescent="0.25">
      <c r="A9" t="s">
        <v>21</v>
      </c>
      <c r="B9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2"/>
  <sheetViews>
    <sheetView tabSelected="1" workbookViewId="0">
      <selection activeCell="L12" sqref="L12"/>
    </sheetView>
  </sheetViews>
  <sheetFormatPr defaultRowHeight="15" x14ac:dyDescent="0.25"/>
  <cols>
    <col min="2" max="2" width="11.140625" customWidth="1"/>
    <col min="3" max="3" width="13.42578125" customWidth="1"/>
    <col min="4" max="4" width="10.5703125" bestFit="1" customWidth="1"/>
    <col min="5" max="5" width="11.42578125" bestFit="1" customWidth="1"/>
    <col min="6" max="6" width="14.7109375" customWidth="1"/>
    <col min="7" max="7" width="12.28515625" style="1" bestFit="1" customWidth="1"/>
    <col min="8" max="8" width="10.85546875" customWidth="1"/>
    <col min="9" max="9" width="11.28515625" style="1" bestFit="1" customWidth="1"/>
    <col min="10" max="10" width="12.28515625" style="1" bestFit="1" customWidth="1"/>
    <col min="11" max="11" width="12.5703125" customWidth="1"/>
    <col min="12" max="12" width="21.42578125" customWidth="1"/>
  </cols>
  <sheetData>
    <row r="4" spans="2:12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s="1" t="s">
        <v>5</v>
      </c>
      <c r="H4" t="s">
        <v>6</v>
      </c>
      <c r="I4" s="1" t="s">
        <v>7</v>
      </c>
      <c r="J4" s="1" t="s">
        <v>31</v>
      </c>
      <c r="K4" s="4" t="s">
        <v>34</v>
      </c>
      <c r="L4" t="s">
        <v>35</v>
      </c>
    </row>
    <row r="5" spans="2:12" x14ac:dyDescent="0.25">
      <c r="B5">
        <v>1001</v>
      </c>
      <c r="C5" t="s">
        <v>8</v>
      </c>
      <c r="D5" t="s">
        <v>9</v>
      </c>
      <c r="E5" t="s">
        <v>10</v>
      </c>
      <c r="F5" t="s">
        <v>11</v>
      </c>
      <c r="G5" s="1">
        <v>12000</v>
      </c>
      <c r="H5">
        <v>2</v>
      </c>
      <c r="I5" s="1">
        <v>2000</v>
      </c>
      <c r="J5" s="1">
        <f>(G5 - I5) / H5</f>
        <v>5000</v>
      </c>
      <c r="K5" s="1">
        <f>SALES1[[#This Row],[Item Price]]*SALES1[[#Headers],[3%]]</f>
        <v>150</v>
      </c>
      <c r="L5" s="1">
        <f>SALES1[[#All],[Profit]]+SALES1[[#All],[Item Price]]</f>
        <v>7000</v>
      </c>
    </row>
    <row r="6" spans="2:12" x14ac:dyDescent="0.25">
      <c r="B6">
        <v>1002</v>
      </c>
      <c r="C6" t="s">
        <v>12</v>
      </c>
      <c r="D6" t="s">
        <v>13</v>
      </c>
      <c r="E6" t="s">
        <v>14</v>
      </c>
      <c r="F6" t="s">
        <v>15</v>
      </c>
      <c r="G6" s="1">
        <v>55000</v>
      </c>
      <c r="H6">
        <v>1</v>
      </c>
      <c r="I6" s="1">
        <v>5000</v>
      </c>
      <c r="J6" s="1">
        <f t="shared" ref="J6:J11" si="0">(G6 - I6) / H6</f>
        <v>50000</v>
      </c>
      <c r="K6" s="1">
        <f>SALES1[[#This Row],[Item Price]]*SALES1[[#Headers],[3%]]</f>
        <v>1500</v>
      </c>
      <c r="L6" s="1">
        <f>SALES1[[#All],[Profit]]+SALES1[[#All],[Item Price]]</f>
        <v>55000</v>
      </c>
    </row>
    <row r="7" spans="2:12" x14ac:dyDescent="0.25">
      <c r="B7">
        <v>1003</v>
      </c>
      <c r="C7" t="s">
        <v>16</v>
      </c>
      <c r="D7" t="s">
        <v>17</v>
      </c>
      <c r="E7" t="s">
        <v>18</v>
      </c>
      <c r="F7" t="s">
        <v>19</v>
      </c>
      <c r="G7" s="1">
        <v>500</v>
      </c>
      <c r="H7">
        <v>10</v>
      </c>
      <c r="I7" s="1">
        <v>120</v>
      </c>
      <c r="J7" s="1">
        <f t="shared" si="0"/>
        <v>38</v>
      </c>
      <c r="K7" s="1">
        <f>SALES1[[#This Row],[Item Price]]*SALES1[[#Headers],[3%]]</f>
        <v>1.1399999999999999</v>
      </c>
      <c r="L7" s="1">
        <f>SALES1[[#All],[Profit]]+SALES1[[#All],[Item Price]]</f>
        <v>158</v>
      </c>
    </row>
    <row r="8" spans="2:12" x14ac:dyDescent="0.25">
      <c r="B8">
        <v>1004</v>
      </c>
      <c r="C8" t="s">
        <v>20</v>
      </c>
      <c r="D8" t="s">
        <v>21</v>
      </c>
      <c r="E8" t="s">
        <v>22</v>
      </c>
      <c r="F8" t="s">
        <v>11</v>
      </c>
      <c r="G8" s="1">
        <v>8000</v>
      </c>
      <c r="H8">
        <v>1</v>
      </c>
      <c r="I8" s="1">
        <v>1500</v>
      </c>
      <c r="J8" s="1">
        <f t="shared" si="0"/>
        <v>6500</v>
      </c>
      <c r="K8" s="1">
        <f>SALES1[[#This Row],[Item Price]]*SALES1[[#Headers],[3%]]</f>
        <v>195</v>
      </c>
      <c r="L8" s="1">
        <f>SALES1[[#All],[Profit]]+SALES1[[#All],[Item Price]]</f>
        <v>8000</v>
      </c>
    </row>
    <row r="9" spans="2:12" x14ac:dyDescent="0.25">
      <c r="B9">
        <v>1005</v>
      </c>
      <c r="C9" t="s">
        <v>23</v>
      </c>
      <c r="D9" t="s">
        <v>24</v>
      </c>
      <c r="E9" t="s">
        <v>25</v>
      </c>
      <c r="F9" t="s">
        <v>15</v>
      </c>
      <c r="G9" s="1">
        <v>15000</v>
      </c>
      <c r="H9">
        <v>1</v>
      </c>
      <c r="I9" s="1">
        <v>2500</v>
      </c>
      <c r="J9" s="1">
        <f t="shared" si="0"/>
        <v>12500</v>
      </c>
      <c r="K9" s="1">
        <f>SALES1[[#This Row],[Item Price]]*SALES1[[#Headers],[3%]]</f>
        <v>375</v>
      </c>
      <c r="L9" s="1">
        <f>SALES1[[#All],[Profit]]+SALES1[[#All],[Item Price]]</f>
        <v>15000</v>
      </c>
    </row>
    <row r="10" spans="2:12" x14ac:dyDescent="0.25">
      <c r="B10">
        <v>1006</v>
      </c>
      <c r="C10" t="s">
        <v>26</v>
      </c>
      <c r="D10" t="s">
        <v>9</v>
      </c>
      <c r="E10" t="s">
        <v>27</v>
      </c>
      <c r="F10" t="s">
        <v>19</v>
      </c>
      <c r="G10" s="1">
        <v>300</v>
      </c>
      <c r="H10">
        <v>15</v>
      </c>
      <c r="I10" s="1">
        <v>90</v>
      </c>
      <c r="J10" s="1">
        <f t="shared" si="0"/>
        <v>14</v>
      </c>
      <c r="K10" s="1">
        <f>SALES1[[#This Row],[Item Price]]*SALES1[[#Headers],[3%]]</f>
        <v>0.42</v>
      </c>
      <c r="L10" s="1">
        <f>SALES1[[#All],[Profit]]+SALES1[[#All],[Item Price]]</f>
        <v>104</v>
      </c>
    </row>
    <row r="11" spans="2:12" x14ac:dyDescent="0.25">
      <c r="B11">
        <v>1007</v>
      </c>
      <c r="C11" t="s">
        <v>28</v>
      </c>
      <c r="D11" t="s">
        <v>29</v>
      </c>
      <c r="E11" t="s">
        <v>30</v>
      </c>
      <c r="F11" t="s">
        <v>15</v>
      </c>
      <c r="G11" s="1">
        <v>18000</v>
      </c>
      <c r="H11">
        <v>2</v>
      </c>
      <c r="I11" s="1">
        <v>3200</v>
      </c>
      <c r="J11" s="1">
        <f t="shared" si="0"/>
        <v>7400</v>
      </c>
      <c r="K11" s="1">
        <f>SALES1[[#This Row],[Item Price]]*SALES1[[#Headers],[3%]]</f>
        <v>222</v>
      </c>
      <c r="L11" s="1">
        <f>SALES1[[#All],[Profit]]+SALES1[[#All],[Item Price]]</f>
        <v>10600</v>
      </c>
    </row>
    <row r="12" spans="2:12" x14ac:dyDescent="0.25">
      <c r="B12" t="s">
        <v>32</v>
      </c>
      <c r="G12" s="1">
        <f>SUM(SALES1[Sales])</f>
        <v>108800</v>
      </c>
      <c r="H12">
        <f>SUM(H5:H11)</f>
        <v>32</v>
      </c>
      <c r="I12" s="1">
        <f>SUM(I5:I11)</f>
        <v>14410</v>
      </c>
      <c r="J12" s="1">
        <f>SUBTOTAL(109,SALES1[Item Price])</f>
        <v>81452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cols>
    <col min="2" max="2" width="21.85546875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oghenefegor ogbe</dc:creator>
  <cp:lastModifiedBy>oghenefegor ogbe</cp:lastModifiedBy>
  <dcterms:created xsi:type="dcterms:W3CDTF">2026-03-11T01:56:19Z</dcterms:created>
  <dcterms:modified xsi:type="dcterms:W3CDTF">2026-03-12T02:37:52Z</dcterms:modified>
</cp:coreProperties>
</file>